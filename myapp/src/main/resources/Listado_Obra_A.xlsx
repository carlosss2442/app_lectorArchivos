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App_TecnoMat\app_lectorArchivos\myapp\src\main\resources\"/>
    </mc:Choice>
  </mc:AlternateContent>
  <xr:revisionPtr revIDLastSave="0" documentId="13_ncr:1_{6433628C-52F4-4AF5-83FC-69306858B6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do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I44" i="1" l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</calcChain>
</file>

<file path=xl/sharedStrings.xml><?xml version="1.0" encoding="utf-8"?>
<sst xmlns="http://schemas.openxmlformats.org/spreadsheetml/2006/main" count="99" uniqueCount="61">
  <si>
    <t>A3</t>
  </si>
  <si>
    <t xml:space="preserve"> </t>
  </si>
  <si>
    <t>Ref: Obra:</t>
  </si>
  <si>
    <t>Cliente:</t>
  </si>
  <si>
    <t>Respons:</t>
  </si>
  <si>
    <t>Proyecto:</t>
  </si>
  <si>
    <t>Impresión:</t>
  </si>
  <si>
    <t>Entrega:</t>
  </si>
  <si>
    <t>MARCA</t>
  </si>
  <si>
    <t>REFERENCIA</t>
  </si>
  <si>
    <t>DESCRIPCION</t>
  </si>
  <si>
    <t>SALIDA UNIDAD</t>
  </si>
  <si>
    <t>ENTRADA UNIDAD</t>
  </si>
  <si>
    <t>TOTAL PEDIDO</t>
  </si>
  <si>
    <t>PEDIDO</t>
  </si>
  <si>
    <t>GAESTOPAS</t>
  </si>
  <si>
    <t>GTF1000</t>
  </si>
  <si>
    <t>VENTILADOR+FILTRO 110X110 230VAC</t>
  </si>
  <si>
    <t>GFI1000</t>
  </si>
  <si>
    <t>FILTRO 110x110</t>
  </si>
  <si>
    <t>TERMOSTATO CONTACTO CUADRO</t>
  </si>
  <si>
    <t>ERICO</t>
  </si>
  <si>
    <t>FLEXIBAR 3x24x1 413A - 1 METRO</t>
  </si>
  <si>
    <t>550290 BARRA TCB 20X10X1000 [564 A] M8 1m</t>
  </si>
  <si>
    <t>LEGRAND</t>
  </si>
  <si>
    <t>Q117119601</t>
  </si>
  <si>
    <t>Cuadro Electrico Legrand</t>
  </si>
  <si>
    <t>CORTACIRCUITO SECC. TO P+N</t>
  </si>
  <si>
    <t>FUSIBLE CILINDRICO /0/2</t>
  </si>
  <si>
    <t>XL3 OBTURADOR 24 MOD</t>
  </si>
  <si>
    <t>XL3 400 ARMARIO 1900/1750H 35M</t>
  </si>
  <si>
    <t>XL3 400 CELDA LATERAL 1900H</t>
  </si>
  <si>
    <t>XL3 TAPA PLENA C/LATERAL 1750H</t>
  </si>
  <si>
    <t>XL3 PUERTA MET C/LATERAL 1900H</t>
  </si>
  <si>
    <t>XL3 SOPORTE+RAIL LARGO 515</t>
  </si>
  <si>
    <t>RAIL UNIVERSAL</t>
  </si>
  <si>
    <t>XL3 PLACA PX-IS 250 VERT</t>
  </si>
  <si>
    <t>XL3 PLACA DPX3 160/250 VERT</t>
  </si>
  <si>
    <t>XL3 PUERTA EXTRAPLAN MET 1900H</t>
  </si>
  <si>
    <t>XL3 CERRADURA LLAVE TIPO 405</t>
  </si>
  <si>
    <t>XL3 TAPA MET P/MODULAR 150H</t>
  </si>
  <si>
    <t>XL3 TAPA DPX-IS 250 VERT</t>
  </si>
  <si>
    <t>XL3 TAPA MET DPX3 250 300H</t>
  </si>
  <si>
    <t>XL3 TAPA PLENA METÁLICA 150H</t>
  </si>
  <si>
    <t>XL3 TAPA PLENA METÁLICA 200H</t>
  </si>
  <si>
    <t>RELÉ DIFERENCIAL 2 MODULOS</t>
  </si>
  <si>
    <t>TOROIDAL DIAM 35MM</t>
  </si>
  <si>
    <t>TOROIDAL DIAM 80MM</t>
  </si>
  <si>
    <t>ADAPT. TERMINALES DPX 630 4P</t>
  </si>
  <si>
    <t>DPX-IS-4P 400A M.F.</t>
  </si>
  <si>
    <t>XL3 SOPORTE JUEGO BARRAS 400A</t>
  </si>
  <si>
    <t>KIT UNION EQUIPOTENCIAL</t>
  </si>
  <si>
    <t>PLETINA SECCION 32 X 5</t>
  </si>
  <si>
    <t>PLETINA SECCION 25 X 4</t>
  </si>
  <si>
    <t>ELEVADOR DE PERFIL 20 MOD</t>
  </si>
  <si>
    <t>MAGNET DX3 6/10 KA C P+N 6A</t>
  </si>
  <si>
    <t>TS2600010340</t>
  </si>
  <si>
    <t>LISTADO ZPATOS</t>
  </si>
  <si>
    <t>GranjA DE PEPE</t>
  </si>
  <si>
    <t>JUAN 15</t>
  </si>
  <si>
    <t>CHENTE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</si>
</sst>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O\T0"/>
  </numFmts>
  <fonts count="10" x14ac:knownFonts="1">
    <font>
      <sz val="11"/>
      <color theme="1"/>
      <name val="Calibri"/>
      <family val="2"/>
      <scheme val="minor"/>
    </font>
    <font>
      <sz val="10"/>
      <name val="Helv"/>
    </font>
    <font>
      <b/>
      <sz val="20"/>
      <name val="Arial"/>
      <family val="2"/>
    </font>
    <font>
      <b/>
      <sz val="14"/>
      <name val="Arial"/>
      <family val="2"/>
    </font>
    <font>
      <u/>
      <sz val="10"/>
      <name val="Helv"/>
    </font>
    <font>
      <b/>
      <sz val="12"/>
      <name val="Arial"/>
      <family val="2"/>
    </font>
    <font>
      <sz val="11"/>
      <name val="Helv"/>
    </font>
    <font>
      <b/>
      <sz val="11"/>
      <name val="Helv"/>
    </font>
    <font>
      <b/>
      <sz val="11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/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6" xfId="0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1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esktop\App_TecnoMat\app_lectorArchivos\myapp\src\main\resources\Libro3.xlsm" TargetMode="External"/><Relationship Id="rId1" Type="http://schemas.openxmlformats.org/officeDocument/2006/relationships/externalLinkPath" Target="Libro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ERTA PARA EL CLIENTE"/>
      <sheetName val="OFERTA"/>
      <sheetName val="ALTA OF"/>
      <sheetName val="RESUMEN MANO OBRA"/>
      <sheetName val="Desglose de materiales"/>
      <sheetName val="Introduccion de Datos"/>
      <sheetName val="CUADRO"/>
      <sheetName val="INSTALACION"/>
      <sheetName val="INGENIERIA"/>
      <sheetName val="INST HIDRAULICA"/>
      <sheetName val="GRUPOS_H"/>
      <sheetName val="HIDRAULICA"/>
      <sheetName val="NEUMATICA"/>
      <sheetName val="INGENIERIA UL"/>
      <sheetName val="MATERIAL SUMINISTRO"/>
      <sheetName val="LISTADO CUADRO"/>
      <sheetName val="SEGUIMIENTO CUADRO"/>
      <sheetName val="LISTADO INSTALACION"/>
      <sheetName val="LISTADO INST HIDRAULICA"/>
      <sheetName val="LISTADO HIDRAULICA"/>
      <sheetName val="LISTADO MATERIAL SUMINISTRO"/>
      <sheetName val="LISTADO SUMINISTRO INST ELEC"/>
      <sheetName val="LISTADO SUMINISTRO HIDRAULICO"/>
      <sheetName val="LISTADO SUMINISTRO INST HIDRAU"/>
      <sheetName val="MODIFICACION CUADRO"/>
      <sheetName val="MODIFICACION INSTALACION"/>
      <sheetName val="MODIFICACION HIDRAULICA"/>
      <sheetName val="TRABAJ INSTAL ELEC"/>
      <sheetName val="CHECK LIST"/>
      <sheetName val="CHECKLIST BIONET"/>
      <sheetName val="TRANSPORTE"/>
      <sheetName val="OBSERVACIONES"/>
      <sheetName val="INCIDENCIAS"/>
      <sheetName val="CERTIFICADO"/>
      <sheetName val="NORMAS SERFRUIT"/>
      <sheetName val="NORMAS GENERAL"/>
      <sheetName val="Calculo materiales"/>
      <sheetName val="Resumen materiales"/>
      <sheetName val="Listado Material%Comparacion"/>
      <sheetName val="Coste Horas Cliente"/>
    </sheetNames>
    <sheetDataSet>
      <sheetData sheetId="0" refreshError="1">
        <row r="3">
          <cell r="Q3" t="str">
            <v>CE</v>
          </cell>
        </row>
        <row r="17">
          <cell r="E1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3" zoomScale="115" zoomScaleNormal="115" workbookViewId="0">
      <selection activeCell="K6" sqref="K6"/>
    </sheetView>
  </sheetViews>
  <sheetFormatPr baseColWidth="10" defaultColWidth="9.140625" defaultRowHeight="15" x14ac:dyDescent="0.25"/>
  <sheetData>
    <row r="1" spans="1:10" x14ac:dyDescent="0.25">
      <c r="A1" s="1" t="s">
        <v>1</v>
      </c>
      <c r="B1" s="2"/>
      <c r="C1" s="2"/>
      <c r="D1" s="3"/>
      <c r="E1" s="4"/>
      <c r="F1" s="2"/>
      <c r="G1" s="2"/>
      <c r="H1" s="2"/>
      <c r="I1" s="2"/>
      <c r="J1" s="5"/>
    </row>
    <row r="2" spans="1:10" ht="26.25" x14ac:dyDescent="0.25">
      <c r="A2" s="6" t="s">
        <v>1</v>
      </c>
      <c r="B2" s="7"/>
      <c r="C2" s="7"/>
      <c r="D2" s="8" t="s">
        <v>57</v>
      </c>
      <c r="E2" s="8"/>
      <c r="F2" s="8"/>
      <c r="G2" s="8"/>
      <c r="H2" s="7"/>
      <c r="I2" s="7"/>
      <c r="J2" s="9"/>
    </row>
    <row r="3" spans="1:10" ht="18" x14ac:dyDescent="0.25">
      <c r="A3" s="6" t="s">
        <v>1</v>
      </c>
      <c r="B3" s="7"/>
      <c r="C3" s="10"/>
      <c r="D3" s="11"/>
      <c r="E3" s="12"/>
      <c r="F3" s="7"/>
      <c r="G3" s="13"/>
      <c r="H3" s="7"/>
      <c r="I3" s="7"/>
      <c r="J3" s="14"/>
    </row>
    <row r="4" spans="1:10" ht="18" x14ac:dyDescent="0.25">
      <c r="A4" s="6" t="s">
        <v>1</v>
      </c>
      <c r="B4" s="7"/>
      <c r="C4" s="15" t="s">
        <v>2</v>
      </c>
      <c r="D4" s="16" t="s">
        <v>56</v>
      </c>
      <c r="E4" s="17"/>
      <c r="F4" s="7"/>
      <c r="G4" s="7"/>
      <c r="H4" s="7"/>
      <c r="I4" s="18"/>
      <c r="J4" s="19"/>
    </row>
    <row r="5" spans="1:10" ht="54" x14ac:dyDescent="0.25">
      <c r="A5" s="6" t="s">
        <v>1</v>
      </c>
      <c r="B5" s="7"/>
      <c r="C5" s="15" t="s">
        <v>3</v>
      </c>
      <c r="D5" s="20" t="s">
        <v>58</v>
      </c>
      <c r="E5" s="21"/>
      <c r="F5" s="7"/>
      <c r="G5" s="22" t="s">
        <v>4</v>
      </c>
      <c r="H5" s="22"/>
      <c r="I5" s="23" t="s">
        <v>60</v>
      </c>
      <c r="J5" s="24"/>
    </row>
    <row r="6" spans="1:10" ht="15.75" x14ac:dyDescent="0.25">
      <c r="A6" s="6" t="s">
        <v>1</v>
      </c>
      <c r="B6" s="7"/>
      <c r="C6" s="15" t="s">
        <v>5</v>
      </c>
      <c r="D6" s="25" t="s">
        <v>59</v>
      </c>
      <c r="E6" s="26"/>
      <c r="F6" s="7"/>
      <c r="G6" s="27" t="s">
        <v>6</v>
      </c>
      <c r="H6" s="27"/>
      <c r="I6" s="43">
        <v>46449</v>
      </c>
      <c r="J6" s="44"/>
    </row>
    <row r="7" spans="1:10" ht="15.75" x14ac:dyDescent="0.25">
      <c r="A7" s="6"/>
      <c r="B7" s="7"/>
      <c r="C7" s="7"/>
      <c r="D7" s="7"/>
      <c r="E7" s="7"/>
      <c r="F7" s="7"/>
      <c r="G7" s="30" t="s">
        <v>7</v>
      </c>
      <c r="H7" s="30"/>
      <c r="I7" s="28">
        <v>46111</v>
      </c>
      <c r="J7" s="29"/>
    </row>
    <row r="8" spans="1:10" ht="18" x14ac:dyDescent="0.25">
      <c r="A8" s="31" t="s">
        <v>1</v>
      </c>
      <c r="B8" s="7"/>
      <c r="C8" s="32"/>
      <c r="D8" s="32"/>
      <c r="E8" s="33"/>
      <c r="F8" s="34"/>
      <c r="G8" s="34"/>
      <c r="H8" s="34"/>
      <c r="I8" s="34"/>
      <c r="J8" s="35"/>
    </row>
    <row r="9" spans="1:10" ht="24" x14ac:dyDescent="0.25">
      <c r="A9" s="36" t="s">
        <v>0</v>
      </c>
      <c r="B9" s="36" t="s">
        <v>8</v>
      </c>
      <c r="C9" s="36" t="s">
        <v>9</v>
      </c>
      <c r="D9" s="36" t="s">
        <v>10</v>
      </c>
      <c r="E9" s="37" t="s">
        <v>11</v>
      </c>
      <c r="F9" s="38"/>
      <c r="G9" s="37" t="s">
        <v>12</v>
      </c>
      <c r="H9" s="38"/>
      <c r="I9" s="39" t="s">
        <v>13</v>
      </c>
      <c r="J9" s="36" t="s">
        <v>14</v>
      </c>
    </row>
    <row r="10" spans="1:10" x14ac:dyDescent="0.25">
      <c r="A10" s="40">
        <v>76666</v>
      </c>
      <c r="B10" s="40" t="s">
        <v>15</v>
      </c>
      <c r="C10" s="40" t="s">
        <v>16</v>
      </c>
      <c r="D10" s="41" t="s">
        <v>17</v>
      </c>
      <c r="E10" s="42">
        <v>1</v>
      </c>
      <c r="F10" s="40"/>
      <c r="G10" s="40"/>
      <c r="H10" s="40"/>
      <c r="I10" s="40">
        <f>E10*'[1]OFERTA PARA EL CLIENTE'!$E$17</f>
        <v>1</v>
      </c>
      <c r="J10" s="41"/>
    </row>
    <row r="11" spans="1:10" x14ac:dyDescent="0.25">
      <c r="A11" s="40">
        <v>76665</v>
      </c>
      <c r="B11" s="40" t="s">
        <v>15</v>
      </c>
      <c r="C11" s="40" t="s">
        <v>18</v>
      </c>
      <c r="D11" s="41" t="s">
        <v>19</v>
      </c>
      <c r="E11" s="42">
        <v>1</v>
      </c>
      <c r="F11" s="40"/>
      <c r="G11" s="40"/>
      <c r="H11" s="40"/>
      <c r="I11" s="40">
        <f>E11*'[1]OFERTA PARA EL CLIENTE'!$E$17</f>
        <v>1</v>
      </c>
      <c r="J11" s="41"/>
    </row>
    <row r="12" spans="1:10" x14ac:dyDescent="0.25">
      <c r="A12" s="40">
        <v>75884</v>
      </c>
      <c r="B12" s="40" t="s">
        <v>15</v>
      </c>
      <c r="C12" s="40">
        <v>607287</v>
      </c>
      <c r="D12" s="41" t="s">
        <v>20</v>
      </c>
      <c r="E12" s="42">
        <v>1</v>
      </c>
      <c r="F12" s="40"/>
      <c r="G12" s="40"/>
      <c r="H12" s="40"/>
      <c r="I12" s="40">
        <f>E12*'[1]OFERTA PARA EL CLIENTE'!$E$17</f>
        <v>1</v>
      </c>
      <c r="J12" s="41"/>
    </row>
    <row r="13" spans="1:10" x14ac:dyDescent="0.25">
      <c r="A13" s="40">
        <v>73809</v>
      </c>
      <c r="B13" s="40" t="s">
        <v>21</v>
      </c>
      <c r="C13" s="40">
        <v>534017</v>
      </c>
      <c r="D13" s="41" t="s">
        <v>22</v>
      </c>
      <c r="E13" s="42">
        <v>4</v>
      </c>
      <c r="F13" s="40"/>
      <c r="G13" s="40"/>
      <c r="H13" s="40"/>
      <c r="I13" s="40">
        <f>E13*'[1]OFERTA PARA EL CLIENTE'!$E$17</f>
        <v>4</v>
      </c>
      <c r="J13" s="41"/>
    </row>
    <row r="14" spans="1:10" x14ac:dyDescent="0.25">
      <c r="A14" s="40">
        <v>65794</v>
      </c>
      <c r="B14" s="40" t="s">
        <v>21</v>
      </c>
      <c r="C14" s="40">
        <v>550290</v>
      </c>
      <c r="D14" s="41" t="s">
        <v>23</v>
      </c>
      <c r="E14" s="42">
        <v>1</v>
      </c>
      <c r="F14" s="40"/>
      <c r="G14" s="40"/>
      <c r="H14" s="40"/>
      <c r="I14" s="40">
        <f>E14*'[1]OFERTA PARA EL CLIENTE'!$E$17</f>
        <v>1</v>
      </c>
      <c r="J14" s="41"/>
    </row>
    <row r="15" spans="1:10" x14ac:dyDescent="0.25">
      <c r="A15" s="40"/>
      <c r="B15" s="40" t="s">
        <v>24</v>
      </c>
      <c r="C15" s="40" t="s">
        <v>25</v>
      </c>
      <c r="D15" s="41" t="s">
        <v>26</v>
      </c>
      <c r="E15" s="42">
        <v>1</v>
      </c>
      <c r="F15" s="40"/>
      <c r="G15" s="40"/>
      <c r="H15" s="40"/>
      <c r="I15" s="40">
        <f>E15*'[1]OFERTA PARA EL CLIENTE'!$E$17</f>
        <v>1</v>
      </c>
      <c r="J15" s="41"/>
    </row>
    <row r="16" spans="1:10" x14ac:dyDescent="0.25">
      <c r="A16" s="40">
        <v>79562</v>
      </c>
      <c r="B16" s="40" t="s">
        <v>24</v>
      </c>
      <c r="C16" s="40">
        <v>5818</v>
      </c>
      <c r="D16" s="41" t="s">
        <v>27</v>
      </c>
      <c r="E16" s="42">
        <v>4</v>
      </c>
      <c r="F16" s="40"/>
      <c r="G16" s="40"/>
      <c r="H16" s="40"/>
      <c r="I16" s="40">
        <f>E16*'[1]OFERTA PARA EL CLIENTE'!$E$17</f>
        <v>4</v>
      </c>
      <c r="J16" s="41"/>
    </row>
    <row r="17" spans="1:10" x14ac:dyDescent="0.25">
      <c r="A17" s="40">
        <v>79563</v>
      </c>
      <c r="B17" s="40" t="s">
        <v>24</v>
      </c>
      <c r="C17" s="40">
        <v>13302</v>
      </c>
      <c r="D17" s="41" t="s">
        <v>28</v>
      </c>
      <c r="E17" s="42">
        <v>4</v>
      </c>
      <c r="F17" s="40"/>
      <c r="G17" s="40"/>
      <c r="H17" s="40"/>
      <c r="I17" s="40">
        <f>E17*'[1]OFERTA PARA EL CLIENTE'!$E$17</f>
        <v>4</v>
      </c>
      <c r="J17" s="41"/>
    </row>
    <row r="18" spans="1:10" x14ac:dyDescent="0.25">
      <c r="A18" s="40">
        <v>79564</v>
      </c>
      <c r="B18" s="40" t="s">
        <v>24</v>
      </c>
      <c r="C18" s="40">
        <v>20051</v>
      </c>
      <c r="D18" s="41" t="s">
        <v>29</v>
      </c>
      <c r="E18" s="42">
        <v>3</v>
      </c>
      <c r="F18" s="40"/>
      <c r="G18" s="40"/>
      <c r="H18" s="40"/>
      <c r="I18" s="40">
        <f>E18*'[1]OFERTA PARA EL CLIENTE'!$E$17</f>
        <v>3</v>
      </c>
      <c r="J18" s="41"/>
    </row>
    <row r="19" spans="1:10" x14ac:dyDescent="0.25">
      <c r="A19" s="40">
        <v>71109</v>
      </c>
      <c r="B19" s="40" t="s">
        <v>24</v>
      </c>
      <c r="C19" s="40">
        <v>20119</v>
      </c>
      <c r="D19" s="41" t="s">
        <v>30</v>
      </c>
      <c r="E19" s="42">
        <v>1</v>
      </c>
      <c r="F19" s="40"/>
      <c r="G19" s="40"/>
      <c r="H19" s="40"/>
      <c r="I19" s="40">
        <f>E19*'[1]OFERTA PARA EL CLIENTE'!$E$17</f>
        <v>1</v>
      </c>
      <c r="J19" s="41"/>
    </row>
    <row r="20" spans="1:10" x14ac:dyDescent="0.25">
      <c r="A20" s="40">
        <v>80696</v>
      </c>
      <c r="B20" s="40" t="s">
        <v>24</v>
      </c>
      <c r="C20" s="40">
        <v>20139</v>
      </c>
      <c r="D20" s="41" t="s">
        <v>31</v>
      </c>
      <c r="E20" s="42">
        <v>1</v>
      </c>
      <c r="F20" s="40"/>
      <c r="G20" s="40"/>
      <c r="H20" s="40"/>
      <c r="I20" s="40">
        <f>E20*'[1]OFERTA PARA EL CLIENTE'!$E$17</f>
        <v>1</v>
      </c>
      <c r="J20" s="41"/>
    </row>
    <row r="21" spans="1:10" x14ac:dyDescent="0.25">
      <c r="A21" s="40">
        <v>80697</v>
      </c>
      <c r="B21" s="40" t="s">
        <v>24</v>
      </c>
      <c r="C21" s="40">
        <v>20149</v>
      </c>
      <c r="D21" s="41" t="s">
        <v>32</v>
      </c>
      <c r="E21" s="42">
        <v>1</v>
      </c>
      <c r="F21" s="40"/>
      <c r="G21" s="40"/>
      <c r="H21" s="40"/>
      <c r="I21" s="40">
        <f>E21*'[1]OFERTA PARA EL CLIENTE'!$E$17</f>
        <v>1</v>
      </c>
      <c r="J21" s="41"/>
    </row>
    <row r="22" spans="1:10" x14ac:dyDescent="0.25">
      <c r="A22" s="40">
        <v>80698</v>
      </c>
      <c r="B22" s="40" t="s">
        <v>24</v>
      </c>
      <c r="C22" s="40">
        <v>20169</v>
      </c>
      <c r="D22" s="41" t="s">
        <v>33</v>
      </c>
      <c r="E22" s="42">
        <v>1</v>
      </c>
      <c r="F22" s="40"/>
      <c r="G22" s="40"/>
      <c r="H22" s="40"/>
      <c r="I22" s="40">
        <f>E22*'[1]OFERTA PARA EL CLIENTE'!$E$17</f>
        <v>1</v>
      </c>
      <c r="J22" s="41"/>
    </row>
    <row r="23" spans="1:10" x14ac:dyDescent="0.25">
      <c r="A23" s="40">
        <v>79672</v>
      </c>
      <c r="B23" s="40" t="s">
        <v>24</v>
      </c>
      <c r="C23" s="40">
        <v>20201</v>
      </c>
      <c r="D23" s="41" t="s">
        <v>34</v>
      </c>
      <c r="E23" s="42">
        <v>2</v>
      </c>
      <c r="F23" s="40"/>
      <c r="G23" s="40"/>
      <c r="H23" s="40"/>
      <c r="I23" s="40">
        <f>E23*'[1]OFERTA PARA EL CLIENTE'!$E$17</f>
        <v>2</v>
      </c>
      <c r="J23" s="41"/>
    </row>
    <row r="24" spans="1:10" x14ac:dyDescent="0.25">
      <c r="A24" s="40">
        <v>80699</v>
      </c>
      <c r="B24" s="40" t="s">
        <v>24</v>
      </c>
      <c r="C24" s="40">
        <v>20204</v>
      </c>
      <c r="D24" s="41" t="s">
        <v>35</v>
      </c>
      <c r="E24" s="42">
        <v>1</v>
      </c>
      <c r="F24" s="40"/>
      <c r="G24" s="40"/>
      <c r="H24" s="40"/>
      <c r="I24" s="40">
        <f>E24*'[1]OFERTA PARA EL CLIENTE'!$E$17</f>
        <v>1</v>
      </c>
      <c r="J24" s="41"/>
    </row>
    <row r="25" spans="1:10" x14ac:dyDescent="0.25">
      <c r="A25" s="40">
        <v>80700</v>
      </c>
      <c r="B25" s="40" t="s">
        <v>24</v>
      </c>
      <c r="C25" s="40">
        <v>20207</v>
      </c>
      <c r="D25" s="41" t="s">
        <v>36</v>
      </c>
      <c r="E25" s="42">
        <v>1</v>
      </c>
      <c r="F25" s="40"/>
      <c r="G25" s="40"/>
      <c r="H25" s="40"/>
      <c r="I25" s="40">
        <f>E25*'[1]OFERTA PARA EL CLIENTE'!$E$17</f>
        <v>1</v>
      </c>
      <c r="J25" s="41"/>
    </row>
    <row r="26" spans="1:10" x14ac:dyDescent="0.25">
      <c r="A26" s="40">
        <v>80701</v>
      </c>
      <c r="B26" s="40" t="s">
        <v>24</v>
      </c>
      <c r="C26" s="40">
        <v>20211</v>
      </c>
      <c r="D26" s="41" t="s">
        <v>37</v>
      </c>
      <c r="E26" s="42">
        <v>2</v>
      </c>
      <c r="F26" s="40"/>
      <c r="G26" s="40"/>
      <c r="H26" s="40"/>
      <c r="I26" s="40">
        <f>E26*'[1]OFERTA PARA EL CLIENTE'!$E$17</f>
        <v>2</v>
      </c>
      <c r="J26" s="41"/>
    </row>
    <row r="27" spans="1:10" x14ac:dyDescent="0.25">
      <c r="A27" s="40">
        <v>80702</v>
      </c>
      <c r="B27" s="40" t="s">
        <v>24</v>
      </c>
      <c r="C27" s="40">
        <v>20279</v>
      </c>
      <c r="D27" s="41" t="s">
        <v>38</v>
      </c>
      <c r="E27" s="42">
        <v>1</v>
      </c>
      <c r="F27" s="40"/>
      <c r="G27" s="40"/>
      <c r="H27" s="40"/>
      <c r="I27" s="40">
        <f>E27*'[1]OFERTA PARA EL CLIENTE'!$E$17</f>
        <v>1</v>
      </c>
      <c r="J27" s="41"/>
    </row>
    <row r="28" spans="1:10" x14ac:dyDescent="0.25">
      <c r="A28" s="40">
        <v>79565</v>
      </c>
      <c r="B28" s="40" t="s">
        <v>24</v>
      </c>
      <c r="C28" s="40">
        <v>20291</v>
      </c>
      <c r="D28" s="41" t="s">
        <v>39</v>
      </c>
      <c r="E28" s="42">
        <v>2</v>
      </c>
      <c r="F28" s="40"/>
      <c r="G28" s="40"/>
      <c r="H28" s="40"/>
      <c r="I28" s="40">
        <f>E28*'[1]OFERTA PARA EL CLIENTE'!$E$17</f>
        <v>2</v>
      </c>
      <c r="J28" s="41"/>
    </row>
    <row r="29" spans="1:10" x14ac:dyDescent="0.25">
      <c r="A29" s="40">
        <v>79671</v>
      </c>
      <c r="B29" s="40" t="s">
        <v>24</v>
      </c>
      <c r="C29" s="40">
        <v>20300</v>
      </c>
      <c r="D29" s="41" t="s">
        <v>40</v>
      </c>
      <c r="E29" s="42">
        <v>2</v>
      </c>
      <c r="F29" s="40"/>
      <c r="G29" s="40"/>
      <c r="H29" s="40"/>
      <c r="I29" s="40">
        <f>E29*'[1]OFERTA PARA EL CLIENTE'!$E$17</f>
        <v>2</v>
      </c>
      <c r="J29" s="41"/>
    </row>
    <row r="30" spans="1:10" x14ac:dyDescent="0.25">
      <c r="A30" s="40">
        <v>80703</v>
      </c>
      <c r="B30" s="40" t="s">
        <v>24</v>
      </c>
      <c r="C30" s="40">
        <v>20307</v>
      </c>
      <c r="D30" s="41" t="s">
        <v>41</v>
      </c>
      <c r="E30" s="42">
        <v>1</v>
      </c>
      <c r="F30" s="40"/>
      <c r="G30" s="40"/>
      <c r="H30" s="40"/>
      <c r="I30" s="40">
        <f>E30*'[1]OFERTA PARA EL CLIENTE'!$E$17</f>
        <v>1</v>
      </c>
      <c r="J30" s="41"/>
    </row>
    <row r="31" spans="1:10" x14ac:dyDescent="0.25">
      <c r="A31" s="40">
        <v>80704</v>
      </c>
      <c r="B31" s="40" t="s">
        <v>24</v>
      </c>
      <c r="C31" s="40">
        <v>20310</v>
      </c>
      <c r="D31" s="41" t="s">
        <v>42</v>
      </c>
      <c r="E31" s="42">
        <v>2</v>
      </c>
      <c r="F31" s="40"/>
      <c r="G31" s="40"/>
      <c r="H31" s="40"/>
      <c r="I31" s="40">
        <f>E31*'[1]OFERTA PARA EL CLIENTE'!$E$17</f>
        <v>2</v>
      </c>
      <c r="J31" s="41"/>
    </row>
    <row r="32" spans="1:10" x14ac:dyDescent="0.25">
      <c r="A32" s="40">
        <v>79845</v>
      </c>
      <c r="B32" s="40" t="s">
        <v>24</v>
      </c>
      <c r="C32" s="40">
        <v>20342</v>
      </c>
      <c r="D32" s="41" t="s">
        <v>43</v>
      </c>
      <c r="E32" s="42">
        <v>1</v>
      </c>
      <c r="F32" s="40"/>
      <c r="G32" s="40"/>
      <c r="H32" s="40"/>
      <c r="I32" s="40">
        <f>E32*'[1]OFERTA PARA EL CLIENTE'!$E$17</f>
        <v>1</v>
      </c>
      <c r="J32" s="41"/>
    </row>
    <row r="33" spans="1:10" x14ac:dyDescent="0.25">
      <c r="A33" s="40">
        <v>80705</v>
      </c>
      <c r="B33" s="40" t="s">
        <v>24</v>
      </c>
      <c r="C33" s="40">
        <v>20343</v>
      </c>
      <c r="D33" s="41" t="s">
        <v>44</v>
      </c>
      <c r="E33" s="42">
        <v>2</v>
      </c>
      <c r="F33" s="40"/>
      <c r="G33" s="40"/>
      <c r="H33" s="40"/>
      <c r="I33" s="40">
        <f>E33*'[1]OFERTA PARA EL CLIENTE'!$E$17</f>
        <v>2</v>
      </c>
      <c r="J33" s="41"/>
    </row>
    <row r="34" spans="1:10" x14ac:dyDescent="0.25">
      <c r="A34" s="40">
        <v>79582</v>
      </c>
      <c r="B34" s="40" t="s">
        <v>24</v>
      </c>
      <c r="C34" s="40">
        <v>26088</v>
      </c>
      <c r="D34" s="41" t="s">
        <v>45</v>
      </c>
      <c r="E34" s="42">
        <v>4</v>
      </c>
      <c r="F34" s="40"/>
      <c r="G34" s="40"/>
      <c r="H34" s="40"/>
      <c r="I34" s="40">
        <f>E34*'[1]OFERTA PARA EL CLIENTE'!$E$17</f>
        <v>4</v>
      </c>
      <c r="J34" s="41"/>
    </row>
    <row r="35" spans="1:10" x14ac:dyDescent="0.25">
      <c r="A35" s="40">
        <v>79670</v>
      </c>
      <c r="B35" s="40" t="s">
        <v>24</v>
      </c>
      <c r="C35" s="40">
        <v>26092</v>
      </c>
      <c r="D35" s="41" t="s">
        <v>46</v>
      </c>
      <c r="E35" s="42">
        <v>3</v>
      </c>
      <c r="F35" s="40"/>
      <c r="G35" s="40"/>
      <c r="H35" s="40"/>
      <c r="I35" s="40">
        <f>E35*'[1]OFERTA PARA EL CLIENTE'!$E$17</f>
        <v>3</v>
      </c>
      <c r="J35" s="41"/>
    </row>
    <row r="36" spans="1:10" x14ac:dyDescent="0.25">
      <c r="A36" s="40">
        <v>79583</v>
      </c>
      <c r="B36" s="40" t="s">
        <v>24</v>
      </c>
      <c r="C36" s="40">
        <v>26093</v>
      </c>
      <c r="D36" s="41" t="s">
        <v>47</v>
      </c>
      <c r="E36" s="42">
        <v>1</v>
      </c>
      <c r="F36" s="40"/>
      <c r="G36" s="40"/>
      <c r="H36" s="40"/>
      <c r="I36" s="40">
        <f>E36*'[1]OFERTA PARA EL CLIENTE'!$E$17</f>
        <v>1</v>
      </c>
      <c r="J36" s="41"/>
    </row>
    <row r="37" spans="1:10" x14ac:dyDescent="0.25">
      <c r="A37" s="40">
        <v>79584</v>
      </c>
      <c r="B37" s="40" t="s">
        <v>24</v>
      </c>
      <c r="C37" s="40">
        <v>26249</v>
      </c>
      <c r="D37" s="41" t="s">
        <v>48</v>
      </c>
      <c r="E37" s="42">
        <v>1</v>
      </c>
      <c r="F37" s="40"/>
      <c r="G37" s="40"/>
      <c r="H37" s="40"/>
      <c r="I37" s="40">
        <f>E37*'[1]OFERTA PARA EL CLIENTE'!$E$17</f>
        <v>1</v>
      </c>
      <c r="J37" s="41"/>
    </row>
    <row r="38" spans="1:10" x14ac:dyDescent="0.25">
      <c r="A38" s="40">
        <v>79585</v>
      </c>
      <c r="B38" s="40" t="s">
        <v>24</v>
      </c>
      <c r="C38" s="40">
        <v>26662</v>
      </c>
      <c r="D38" s="41" t="s">
        <v>49</v>
      </c>
      <c r="E38" s="42">
        <v>1</v>
      </c>
      <c r="F38" s="40"/>
      <c r="G38" s="40"/>
      <c r="H38" s="40"/>
      <c r="I38" s="40">
        <f>E38*'[1]OFERTA PARA EL CLIENTE'!$E$17</f>
        <v>1</v>
      </c>
      <c r="J38" s="41"/>
    </row>
    <row r="39" spans="1:10" x14ac:dyDescent="0.25">
      <c r="A39" s="40">
        <v>71525</v>
      </c>
      <c r="B39" s="40" t="s">
        <v>24</v>
      </c>
      <c r="C39" s="40">
        <v>37310</v>
      </c>
      <c r="D39" s="41" t="s">
        <v>50</v>
      </c>
      <c r="E39" s="42">
        <v>4</v>
      </c>
      <c r="F39" s="40"/>
      <c r="G39" s="40"/>
      <c r="H39" s="40"/>
      <c r="I39" s="40">
        <f>E39*'[1]OFERTA PARA EL CLIENTE'!$E$17</f>
        <v>4</v>
      </c>
      <c r="J39" s="41"/>
    </row>
    <row r="40" spans="1:10" x14ac:dyDescent="0.25">
      <c r="A40" s="40">
        <v>79587</v>
      </c>
      <c r="B40" s="40" t="s">
        <v>24</v>
      </c>
      <c r="C40" s="40">
        <v>37385</v>
      </c>
      <c r="D40" s="41" t="s">
        <v>51</v>
      </c>
      <c r="E40" s="42">
        <v>2</v>
      </c>
      <c r="F40" s="40"/>
      <c r="G40" s="40"/>
      <c r="H40" s="40"/>
      <c r="I40" s="40">
        <f>E40*'[1]OFERTA PARA EL CLIENTE'!$E$17</f>
        <v>2</v>
      </c>
      <c r="J40" s="41"/>
    </row>
    <row r="41" spans="1:10" x14ac:dyDescent="0.25">
      <c r="A41" s="40">
        <v>79588</v>
      </c>
      <c r="B41" s="40" t="s">
        <v>24</v>
      </c>
      <c r="C41" s="40">
        <v>37419</v>
      </c>
      <c r="D41" s="41" t="s">
        <v>52</v>
      </c>
      <c r="E41" s="42">
        <v>4</v>
      </c>
      <c r="F41" s="40"/>
      <c r="G41" s="40"/>
      <c r="H41" s="40"/>
      <c r="I41" s="40">
        <f>E41*'[1]OFERTA PARA EL CLIENTE'!$E$17</f>
        <v>4</v>
      </c>
      <c r="J41" s="41"/>
    </row>
    <row r="42" spans="1:10" x14ac:dyDescent="0.25">
      <c r="A42" s="40">
        <v>79589</v>
      </c>
      <c r="B42" s="40" t="s">
        <v>24</v>
      </c>
      <c r="C42" s="40">
        <v>37438</v>
      </c>
      <c r="D42" s="41" t="s">
        <v>53</v>
      </c>
      <c r="E42" s="42">
        <v>1</v>
      </c>
      <c r="F42" s="40"/>
      <c r="G42" s="40"/>
      <c r="H42" s="40"/>
      <c r="I42" s="40">
        <f>E42*'[1]OFERTA PARA EL CLIENTE'!$E$17</f>
        <v>1</v>
      </c>
      <c r="J42" s="41"/>
    </row>
    <row r="43" spans="1:10" x14ac:dyDescent="0.25">
      <c r="A43" s="40">
        <v>79590</v>
      </c>
      <c r="B43" s="40" t="s">
        <v>24</v>
      </c>
      <c r="C43" s="40">
        <v>405226</v>
      </c>
      <c r="D43" s="41" t="s">
        <v>54</v>
      </c>
      <c r="E43" s="42">
        <v>2</v>
      </c>
      <c r="F43" s="40"/>
      <c r="G43" s="40"/>
      <c r="H43" s="40"/>
      <c r="I43" s="40">
        <f>E43*'[1]OFERTA PARA EL CLIENTE'!$E$17</f>
        <v>2</v>
      </c>
      <c r="J43" s="41"/>
    </row>
    <row r="44" spans="1:10" x14ac:dyDescent="0.25">
      <c r="A44" s="40">
        <v>70806</v>
      </c>
      <c r="B44" s="40" t="s">
        <v>24</v>
      </c>
      <c r="C44" s="40">
        <v>407752</v>
      </c>
      <c r="D44" s="41" t="s">
        <v>55</v>
      </c>
      <c r="E44" s="42">
        <v>1</v>
      </c>
      <c r="F44" s="40"/>
      <c r="G44" s="40"/>
      <c r="H44" s="40"/>
      <c r="I44" s="40">
        <f>E44*'[1]OFERTA PARA EL CLIENTE'!$E$17</f>
        <v>1</v>
      </c>
      <c r="J44" s="41"/>
    </row>
  </sheetData>
  <mergeCells count="10">
    <mergeCell ref="G7:H7"/>
    <mergeCell ref="I7:J7"/>
    <mergeCell ref="E9:F9"/>
    <mergeCell ref="G9:H9"/>
    <mergeCell ref="D2:G2"/>
    <mergeCell ref="G5:H5"/>
    <mergeCell ref="I5:J5"/>
    <mergeCell ref="D6:E6"/>
    <mergeCell ref="G6:H6"/>
    <mergeCell ref="I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 Escobar Roman</cp:lastModifiedBy>
  <dcterms:created xsi:type="dcterms:W3CDTF">2026-03-04T12:34:04Z</dcterms:created>
  <dcterms:modified xsi:type="dcterms:W3CDTF">2026-03-04T12:45:24Z</dcterms:modified>
</cp:coreProperties>
</file>