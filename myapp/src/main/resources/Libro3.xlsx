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pp_TecnoMat\app_lectorArchivos\myapp\src\main\resources\"/>
    </mc:Choice>
  </mc:AlternateContent>
  <xr:revisionPtr revIDLastSave="0" documentId="13_ncr:1_{0F9D1618-A3A5-40A5-886F-D6B29C152605}" xr6:coauthVersionLast="47" xr6:coauthVersionMax="47" xr10:uidLastSave="{00000000-0000-0000-0000-000000000000}"/>
  <bookViews>
    <workbookView xWindow="-120" yWindow="-120" windowWidth="29040" windowHeight="15840" xr2:uid="{501981FC-E882-4770-BB78-4C8F6F42D128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</calcChain>
</file>

<file path=xl/sharedStrings.xml><?xml version="1.0" encoding="utf-8"?>
<sst xmlns="http://schemas.openxmlformats.org/spreadsheetml/2006/main" count="134" uniqueCount="71">
  <si>
    <t xml:space="preserve"> </t>
  </si>
  <si>
    <t>Ref: Obra:</t>
  </si>
  <si>
    <t>Cliente:</t>
  </si>
  <si>
    <t>Respons:</t>
  </si>
  <si>
    <t>CARLOS</t>
  </si>
  <si>
    <t>Proyecto:</t>
  </si>
  <si>
    <t>Impresión:</t>
  </si>
  <si>
    <t>Entrega:</t>
  </si>
  <si>
    <t>A3</t>
  </si>
  <si>
    <t>MARCA</t>
  </si>
  <si>
    <t>REFERENCIA</t>
  </si>
  <si>
    <t>DESCRIPCION</t>
  </si>
  <si>
    <t>SALIDA UNIDAD</t>
  </si>
  <si>
    <t>ENTRADA UNIDAD</t>
  </si>
  <si>
    <t>TOTAL PEDIDO</t>
  </si>
  <si>
    <t>PEDIDO</t>
  </si>
  <si>
    <t>GAESTOPAS</t>
  </si>
  <si>
    <t>GTF1000</t>
  </si>
  <si>
    <t>VENTILADOR+FILTRO 110X110 230VAC</t>
  </si>
  <si>
    <t>GFI1000</t>
  </si>
  <si>
    <t>FILTRO 110x110</t>
  </si>
  <si>
    <t>TERMOSTATO CONTACTO CUADRO</t>
  </si>
  <si>
    <t>ERICO</t>
  </si>
  <si>
    <t>FLEXIBAR 3x24x1 413A - 1 METRO</t>
  </si>
  <si>
    <t>550290 BARRA TCB 20X10X1000 [564 A] M8 1m</t>
  </si>
  <si>
    <t>LEGRAND</t>
  </si>
  <si>
    <t>Q117119601</t>
  </si>
  <si>
    <t>Cuadro Electrico Legrand</t>
  </si>
  <si>
    <t>CORTACIRCUITO SECC. TO P+N</t>
  </si>
  <si>
    <t>FUSIBLE CILINDRICO /0/2</t>
  </si>
  <si>
    <t>XL3 OBTURADOR 24 MOD</t>
  </si>
  <si>
    <t>XL3 400 ARMARIO 1900/1750H 35M</t>
  </si>
  <si>
    <t>XL3 400 CELDA LATERAL 1900H</t>
  </si>
  <si>
    <t>XL3 TAPA PLENA C/LATERAL 1750H</t>
  </si>
  <si>
    <t>XL3 PUERTA MET C/LATERAL 1900H</t>
  </si>
  <si>
    <t>XL3 SOPORTE+RAIL LARGO 515</t>
  </si>
  <si>
    <t>RAIL UNIVERSAL</t>
  </si>
  <si>
    <t>XL3 PLACA PX-IS 250 VERT</t>
  </si>
  <si>
    <t>XL3 PLACA DPX3 160/250 VERT</t>
  </si>
  <si>
    <t>XL3 PUERTA EXTRAPLAN MET 1900H</t>
  </si>
  <si>
    <t>XL3 CERRADURA LLAVE TIPO 405</t>
  </si>
  <si>
    <t>XL3 TAPA MET P/MODULAR 150H</t>
  </si>
  <si>
    <t>XL3 TAPA DPX-IS 250 VERT</t>
  </si>
  <si>
    <t>XL3 TAPA MET DPX3 250 300H</t>
  </si>
  <si>
    <t>XL3 TAPA PLENA METÁLICA 150H</t>
  </si>
  <si>
    <t>XL3 TAPA PLENA METÁLICA 200H</t>
  </si>
  <si>
    <t>RELÉ DIFERENCIAL 2 MODULOS</t>
  </si>
  <si>
    <t>TOROIDAL DIAM 35MM</t>
  </si>
  <si>
    <t>TOROIDAL DIAM 80MM</t>
  </si>
  <si>
    <t>ADAPT. TERMINALES DPX 630 4P</t>
  </si>
  <si>
    <t>DPX-IS-4P 400A M.F.</t>
  </si>
  <si>
    <t>XL3 SOPORTE JUEGO BARRAS 400A</t>
  </si>
  <si>
    <t>KIT UNION EQUIPOTENCIAL</t>
  </si>
  <si>
    <t>PLETINA SECCION 32 X 5</t>
  </si>
  <si>
    <t>PLETINA SECCION 25 X 4</t>
  </si>
  <si>
    <t>ELEVADOR DE PERFIL 20 MOD</t>
  </si>
  <si>
    <t>MAGNET DX3 6/10 KA C P+N 6A</t>
  </si>
  <si>
    <t>DIFERENCIAL DX3 2/25/30 AC</t>
  </si>
  <si>
    <t>DPX³160 mag. 4P 40A 16kA</t>
  </si>
  <si>
    <t>DPX³160 mag. 4P 63A 16kA</t>
  </si>
  <si>
    <t>DPX³160 mag. 4P 125A 16kA</t>
  </si>
  <si>
    <t>DPX³ bobina emisión 200-277Vac</t>
  </si>
  <si>
    <t>Fijación s/perfilDPX³160 3P/4P</t>
  </si>
  <si>
    <t>MAGNET DX3 6/10 KA C 2P 16A</t>
  </si>
  <si>
    <t>Ampliacion Magnetotermico en CGBT 250A 4P</t>
  </si>
  <si>
    <t>DPX³250 mag. 4P 250A 50kA</t>
  </si>
  <si>
    <t>Fijación s/perfilDPX³250 3P/4P</t>
  </si>
  <si>
    <t>Linea cottage 43</t>
  </si>
  <si>
    <t>Granja Rinya</t>
  </si>
  <si>
    <t>TS260001036</t>
  </si>
  <si>
    <t>LISTADO MATERIALES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</si>
</sst>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O\T0"/>
  </numFmts>
  <fonts count="10" x14ac:knownFonts="1">
    <font>
      <sz val="11"/>
      <color theme="1"/>
      <name val="Calibri"/>
      <family val="2"/>
      <scheme val="minor"/>
    </font>
    <font>
      <sz val="10"/>
      <name val="Helv"/>
    </font>
    <font>
      <b/>
      <sz val="2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Helv"/>
    </font>
    <font>
      <b/>
      <sz val="11"/>
      <name val="Helv"/>
    </font>
    <font>
      <b/>
      <sz val="11"/>
      <name val="Arial"/>
      <family val="2"/>
    </font>
    <font>
      <b/>
      <sz val="9"/>
      <name val="Arial"/>
      <family val="2"/>
    </font>
    <font>
      <u/>
      <sz val="10"/>
      <name val="Helv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/>
    <xf numFmtId="0" fontId="3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vertical="center"/>
    </xf>
    <xf numFmtId="1" fontId="3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/>
    <xf numFmtId="0" fontId="1" fillId="3" borderId="6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esktop\App_TecnoMat\app_lectorArchivos\myapp\src\main\resources\Libro3.xlsm" TargetMode="External"/><Relationship Id="rId1" Type="http://schemas.openxmlformats.org/officeDocument/2006/relationships/externalLinkPath" Target="Libro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ERTA PARA EL CLIENTE"/>
      <sheetName val="OFERTA"/>
      <sheetName val="ALTA OF"/>
      <sheetName val="RESUMEN MANO OBRA"/>
      <sheetName val="Desglose de materiales"/>
      <sheetName val="Introduccion de Datos"/>
      <sheetName val="CUADRO"/>
      <sheetName val="INSTALACION"/>
      <sheetName val="INGENIERIA"/>
      <sheetName val="INST HIDRAULICA"/>
      <sheetName val="GRUPOS_H"/>
      <sheetName val="HIDRAULICA"/>
      <sheetName val="NEUMATICA"/>
      <sheetName val="INGENIERIA UL"/>
      <sheetName val="MATERIAL SUMINISTRO"/>
      <sheetName val="LISTADO CUADRO"/>
      <sheetName val="SEGUIMIENTO CUADRO"/>
      <sheetName val="LISTADO INSTALACION"/>
      <sheetName val="LISTADO INST HIDRAULICA"/>
      <sheetName val="LISTADO HIDRAULICA"/>
      <sheetName val="LISTADO MATERIAL SUMINISTRO"/>
      <sheetName val="LISTADO SUMINISTRO INST ELEC"/>
      <sheetName val="LISTADO SUMINISTRO HIDRAULICO"/>
      <sheetName val="LISTADO SUMINISTRO INST HIDRAU"/>
      <sheetName val="MODIFICACION CUADRO"/>
      <sheetName val="MODIFICACION INSTALACION"/>
      <sheetName val="MODIFICACION HIDRAULICA"/>
      <sheetName val="TRABAJ INSTAL ELEC"/>
      <sheetName val="CHECK LIST"/>
      <sheetName val="CHECKLIST BIONET"/>
      <sheetName val="TRANSPORTE"/>
      <sheetName val="OBSERVACIONES"/>
      <sheetName val="INCIDENCIAS"/>
      <sheetName val="CERTIFICADO"/>
      <sheetName val="NORMAS SERFRUIT"/>
      <sheetName val="NORMAS GENERAL"/>
      <sheetName val="Calculo materiales"/>
      <sheetName val="Resumen materiales"/>
      <sheetName val="Listado Material%Comparacion"/>
      <sheetName val="Coste Horas Cliente"/>
    </sheetNames>
    <sheetDataSet>
      <sheetData sheetId="0" refreshError="1">
        <row r="3">
          <cell r="Q3" t="str">
            <v>CE</v>
          </cell>
        </row>
        <row r="17">
          <cell r="E1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8B88-0AFC-458C-BD32-B938E8DB4581}">
  <dimension ref="A1:J61"/>
  <sheetViews>
    <sheetView tabSelected="1" workbookViewId="0">
      <selection activeCell="E32" sqref="E32"/>
    </sheetView>
  </sheetViews>
  <sheetFormatPr baseColWidth="10" defaultRowHeight="15" x14ac:dyDescent="0.25"/>
  <cols>
    <col min="4" max="4" width="19.5703125" bestFit="1" customWidth="1"/>
  </cols>
  <sheetData>
    <row r="1" spans="1:10" x14ac:dyDescent="0.25">
      <c r="A1" s="1" t="s">
        <v>0</v>
      </c>
      <c r="B1" s="2"/>
      <c r="C1" s="2"/>
      <c r="D1" s="3"/>
      <c r="E1" s="4"/>
      <c r="F1" s="2"/>
      <c r="G1" s="2"/>
      <c r="H1" s="2"/>
      <c r="I1" s="2"/>
      <c r="J1" s="5"/>
    </row>
    <row r="2" spans="1:10" ht="26.25" x14ac:dyDescent="0.25">
      <c r="A2" s="6" t="s">
        <v>0</v>
      </c>
      <c r="B2" s="7"/>
      <c r="C2" s="7"/>
      <c r="D2" s="31" t="s">
        <v>70</v>
      </c>
      <c r="E2" s="31"/>
      <c r="F2" s="31"/>
      <c r="G2" s="31"/>
      <c r="H2" s="7"/>
      <c r="I2" s="7"/>
      <c r="J2" s="8"/>
    </row>
    <row r="3" spans="1:10" ht="18" x14ac:dyDescent="0.25">
      <c r="A3" s="6" t="s">
        <v>0</v>
      </c>
      <c r="B3" s="7"/>
      <c r="C3" s="9"/>
      <c r="D3" s="10"/>
      <c r="E3" s="11"/>
      <c r="F3" s="7"/>
      <c r="G3" s="30"/>
      <c r="H3" s="7"/>
      <c r="I3" s="7"/>
      <c r="J3" s="12"/>
    </row>
    <row r="4" spans="1:10" ht="18" x14ac:dyDescent="0.25">
      <c r="A4" s="6" t="s">
        <v>0</v>
      </c>
      <c r="B4" s="7"/>
      <c r="C4" s="13" t="s">
        <v>1</v>
      </c>
      <c r="D4" s="14" t="s">
        <v>69</v>
      </c>
      <c r="E4" s="15"/>
      <c r="F4" s="7"/>
      <c r="G4" s="7"/>
      <c r="H4" s="7"/>
      <c r="I4" s="16"/>
      <c r="J4" s="17"/>
    </row>
    <row r="5" spans="1:10" ht="18" x14ac:dyDescent="0.25">
      <c r="A5" s="6" t="s">
        <v>0</v>
      </c>
      <c r="B5" s="7"/>
      <c r="C5" s="13" t="s">
        <v>2</v>
      </c>
      <c r="D5" s="18" t="s">
        <v>68</v>
      </c>
      <c r="E5" s="19"/>
      <c r="F5" s="7"/>
      <c r="G5" s="34" t="s">
        <v>3</v>
      </c>
      <c r="H5" s="34"/>
      <c r="I5" s="35" t="s">
        <v>4</v>
      </c>
      <c r="J5" s="36"/>
    </row>
    <row r="6" spans="1:10" ht="15.75" x14ac:dyDescent="0.25">
      <c r="A6" s="6" t="s">
        <v>0</v>
      </c>
      <c r="B6" s="7"/>
      <c r="C6" s="13" t="s">
        <v>5</v>
      </c>
      <c r="D6" s="41" t="s">
        <v>67</v>
      </c>
      <c r="E6" s="42"/>
      <c r="F6" s="7"/>
      <c r="G6" s="37" t="s">
        <v>6</v>
      </c>
      <c r="H6" s="37"/>
      <c r="I6" s="38">
        <v>46065</v>
      </c>
      <c r="J6" s="39"/>
    </row>
    <row r="7" spans="1:10" ht="15.75" x14ac:dyDescent="0.25">
      <c r="A7" s="6"/>
      <c r="B7" s="7"/>
      <c r="C7" s="7"/>
      <c r="D7" s="7"/>
      <c r="E7" s="7"/>
      <c r="F7" s="7"/>
      <c r="G7" s="40" t="s">
        <v>7</v>
      </c>
      <c r="H7" s="40"/>
      <c r="I7" s="38">
        <v>46072</v>
      </c>
      <c r="J7" s="39"/>
    </row>
    <row r="8" spans="1:10" ht="18" x14ac:dyDescent="0.25">
      <c r="A8" s="20" t="s">
        <v>0</v>
      </c>
      <c r="B8" s="7"/>
      <c r="C8" s="21"/>
      <c r="D8" s="21"/>
      <c r="E8" s="22"/>
      <c r="F8" s="23"/>
      <c r="G8" s="23"/>
      <c r="H8" s="23"/>
      <c r="I8" s="23"/>
      <c r="J8" s="24"/>
    </row>
    <row r="9" spans="1:10" ht="24" x14ac:dyDescent="0.25">
      <c r="A9" s="25" t="s">
        <v>8</v>
      </c>
      <c r="B9" s="25" t="s">
        <v>9</v>
      </c>
      <c r="C9" s="25" t="s">
        <v>10</v>
      </c>
      <c r="D9" s="25" t="s">
        <v>11</v>
      </c>
      <c r="E9" s="32" t="s">
        <v>12</v>
      </c>
      <c r="F9" s="33"/>
      <c r="G9" s="32" t="s">
        <v>13</v>
      </c>
      <c r="H9" s="33"/>
      <c r="I9" s="26" t="s">
        <v>14</v>
      </c>
      <c r="J9" s="25" t="s">
        <v>15</v>
      </c>
    </row>
    <row r="10" spans="1:10" x14ac:dyDescent="0.25">
      <c r="A10" s="27">
        <v>76666</v>
      </c>
      <c r="B10" s="27" t="s">
        <v>16</v>
      </c>
      <c r="C10" s="27" t="s">
        <v>17</v>
      </c>
      <c r="D10" s="28" t="s">
        <v>18</v>
      </c>
      <c r="E10" s="29">
        <v>1</v>
      </c>
      <c r="F10" s="27"/>
      <c r="G10" s="27"/>
      <c r="H10" s="27"/>
      <c r="I10" s="27">
        <f>E10*'[1]OFERTA PARA EL CLIENTE'!$E$17</f>
        <v>1</v>
      </c>
      <c r="J10" s="28"/>
    </row>
    <row r="11" spans="1:10" x14ac:dyDescent="0.25">
      <c r="A11" s="27">
        <v>76665</v>
      </c>
      <c r="B11" s="27" t="s">
        <v>16</v>
      </c>
      <c r="C11" s="27" t="s">
        <v>19</v>
      </c>
      <c r="D11" s="28" t="s">
        <v>20</v>
      </c>
      <c r="E11" s="29">
        <v>1</v>
      </c>
      <c r="F11" s="27"/>
      <c r="G11" s="27"/>
      <c r="H11" s="27"/>
      <c r="I11" s="27">
        <f>E11*'[1]OFERTA PARA EL CLIENTE'!$E$17</f>
        <v>1</v>
      </c>
      <c r="J11" s="28"/>
    </row>
    <row r="12" spans="1:10" x14ac:dyDescent="0.25">
      <c r="A12" s="27">
        <v>75884</v>
      </c>
      <c r="B12" s="27" t="s">
        <v>16</v>
      </c>
      <c r="C12" s="27">
        <v>607287</v>
      </c>
      <c r="D12" s="28" t="s">
        <v>21</v>
      </c>
      <c r="E12" s="29">
        <v>1</v>
      </c>
      <c r="F12" s="27"/>
      <c r="G12" s="27"/>
      <c r="H12" s="27"/>
      <c r="I12" s="27">
        <f>E12*'[1]OFERTA PARA EL CLIENTE'!$E$17</f>
        <v>1</v>
      </c>
      <c r="J12" s="28"/>
    </row>
    <row r="13" spans="1:10" x14ac:dyDescent="0.25">
      <c r="A13" s="27">
        <v>73809</v>
      </c>
      <c r="B13" s="27" t="s">
        <v>22</v>
      </c>
      <c r="C13" s="27">
        <v>534017</v>
      </c>
      <c r="D13" s="28" t="s">
        <v>23</v>
      </c>
      <c r="E13" s="29">
        <v>4</v>
      </c>
      <c r="F13" s="27"/>
      <c r="G13" s="27"/>
      <c r="H13" s="27"/>
      <c r="I13" s="27">
        <f>E13*'[1]OFERTA PARA EL CLIENTE'!$E$17</f>
        <v>4</v>
      </c>
      <c r="J13" s="28"/>
    </row>
    <row r="14" spans="1:10" x14ac:dyDescent="0.25">
      <c r="A14" s="27">
        <v>65794</v>
      </c>
      <c r="B14" s="27" t="s">
        <v>22</v>
      </c>
      <c r="C14" s="27">
        <v>550290</v>
      </c>
      <c r="D14" s="28" t="s">
        <v>24</v>
      </c>
      <c r="E14" s="29">
        <v>1</v>
      </c>
      <c r="F14" s="27"/>
      <c r="G14" s="27"/>
      <c r="H14" s="27"/>
      <c r="I14" s="27">
        <f>E14*'[1]OFERTA PARA EL CLIENTE'!$E$17</f>
        <v>1</v>
      </c>
      <c r="J14" s="28"/>
    </row>
    <row r="15" spans="1:10" x14ac:dyDescent="0.25">
      <c r="A15" s="27"/>
      <c r="B15" s="27" t="s">
        <v>25</v>
      </c>
      <c r="C15" s="27" t="s">
        <v>26</v>
      </c>
      <c r="D15" s="28" t="s">
        <v>27</v>
      </c>
      <c r="E15" s="29">
        <v>1</v>
      </c>
      <c r="F15" s="27"/>
      <c r="G15" s="27"/>
      <c r="H15" s="27"/>
      <c r="I15" s="27">
        <f>E15*'[1]OFERTA PARA EL CLIENTE'!$E$17</f>
        <v>1</v>
      </c>
      <c r="J15" s="28"/>
    </row>
    <row r="16" spans="1:10" x14ac:dyDescent="0.25">
      <c r="A16" s="27">
        <v>79562</v>
      </c>
      <c r="B16" s="27" t="s">
        <v>25</v>
      </c>
      <c r="C16" s="27">
        <v>5818</v>
      </c>
      <c r="D16" s="28" t="s">
        <v>28</v>
      </c>
      <c r="E16" s="29">
        <v>4</v>
      </c>
      <c r="F16" s="27"/>
      <c r="G16" s="27"/>
      <c r="H16" s="27"/>
      <c r="I16" s="27">
        <f>E16*'[1]OFERTA PARA EL CLIENTE'!$E$17</f>
        <v>4</v>
      </c>
      <c r="J16" s="28"/>
    </row>
    <row r="17" spans="1:10" x14ac:dyDescent="0.25">
      <c r="A17" s="27">
        <v>79563</v>
      </c>
      <c r="B17" s="27" t="s">
        <v>25</v>
      </c>
      <c r="C17" s="27">
        <v>13302</v>
      </c>
      <c r="D17" s="28" t="s">
        <v>29</v>
      </c>
      <c r="E17" s="29">
        <v>4</v>
      </c>
      <c r="F17" s="27"/>
      <c r="G17" s="27"/>
      <c r="H17" s="27"/>
      <c r="I17" s="27">
        <f>E17*'[1]OFERTA PARA EL CLIENTE'!$E$17</f>
        <v>4</v>
      </c>
      <c r="J17" s="28"/>
    </row>
    <row r="18" spans="1:10" x14ac:dyDescent="0.25">
      <c r="A18" s="27">
        <v>79564</v>
      </c>
      <c r="B18" s="27" t="s">
        <v>25</v>
      </c>
      <c r="C18" s="27">
        <v>20051</v>
      </c>
      <c r="D18" s="28" t="s">
        <v>30</v>
      </c>
      <c r="E18" s="29">
        <v>3</v>
      </c>
      <c r="F18" s="27"/>
      <c r="G18" s="27"/>
      <c r="H18" s="27"/>
      <c r="I18" s="27">
        <f>E18*'[1]OFERTA PARA EL CLIENTE'!$E$17</f>
        <v>3</v>
      </c>
      <c r="J18" s="28"/>
    </row>
    <row r="19" spans="1:10" x14ac:dyDescent="0.25">
      <c r="A19" s="27">
        <v>71109</v>
      </c>
      <c r="B19" s="27" t="s">
        <v>25</v>
      </c>
      <c r="C19" s="27">
        <v>20119</v>
      </c>
      <c r="D19" s="28" t="s">
        <v>31</v>
      </c>
      <c r="E19" s="29">
        <v>1</v>
      </c>
      <c r="F19" s="27"/>
      <c r="G19" s="27"/>
      <c r="H19" s="27"/>
      <c r="I19" s="27">
        <f>E19*'[1]OFERTA PARA EL CLIENTE'!$E$17</f>
        <v>1</v>
      </c>
      <c r="J19" s="28"/>
    </row>
    <row r="20" spans="1:10" x14ac:dyDescent="0.25">
      <c r="A20" s="27">
        <v>80696</v>
      </c>
      <c r="B20" s="27" t="s">
        <v>25</v>
      </c>
      <c r="C20" s="27">
        <v>20139</v>
      </c>
      <c r="D20" s="28" t="s">
        <v>32</v>
      </c>
      <c r="E20" s="29">
        <v>1</v>
      </c>
      <c r="F20" s="27"/>
      <c r="G20" s="27"/>
      <c r="H20" s="27"/>
      <c r="I20" s="27">
        <f>E20*'[1]OFERTA PARA EL CLIENTE'!$E$17</f>
        <v>1</v>
      </c>
      <c r="J20" s="28"/>
    </row>
    <row r="21" spans="1:10" x14ac:dyDescent="0.25">
      <c r="A21" s="27">
        <v>80697</v>
      </c>
      <c r="B21" s="27" t="s">
        <v>25</v>
      </c>
      <c r="C21" s="27">
        <v>20149</v>
      </c>
      <c r="D21" s="28" t="s">
        <v>33</v>
      </c>
      <c r="E21" s="29">
        <v>1</v>
      </c>
      <c r="F21" s="27"/>
      <c r="G21" s="27"/>
      <c r="H21" s="27"/>
      <c r="I21" s="27">
        <f>E21*'[1]OFERTA PARA EL CLIENTE'!$E$17</f>
        <v>1</v>
      </c>
      <c r="J21" s="28"/>
    </row>
    <row r="22" spans="1:10" x14ac:dyDescent="0.25">
      <c r="A22" s="27">
        <v>80698</v>
      </c>
      <c r="B22" s="27" t="s">
        <v>25</v>
      </c>
      <c r="C22" s="27">
        <v>20169</v>
      </c>
      <c r="D22" s="28" t="s">
        <v>34</v>
      </c>
      <c r="E22" s="29">
        <v>1</v>
      </c>
      <c r="F22" s="27"/>
      <c r="G22" s="27"/>
      <c r="H22" s="27"/>
      <c r="I22" s="27">
        <f>E22*'[1]OFERTA PARA EL CLIENTE'!$E$17</f>
        <v>1</v>
      </c>
      <c r="J22" s="28"/>
    </row>
    <row r="23" spans="1:10" x14ac:dyDescent="0.25">
      <c r="A23" s="27">
        <v>79672</v>
      </c>
      <c r="B23" s="27" t="s">
        <v>25</v>
      </c>
      <c r="C23" s="27">
        <v>20201</v>
      </c>
      <c r="D23" s="28" t="s">
        <v>35</v>
      </c>
      <c r="E23" s="29">
        <v>2</v>
      </c>
      <c r="F23" s="27"/>
      <c r="G23" s="27"/>
      <c r="H23" s="27"/>
      <c r="I23" s="27">
        <f>E23*'[1]OFERTA PARA EL CLIENTE'!$E$17</f>
        <v>2</v>
      </c>
      <c r="J23" s="28"/>
    </row>
    <row r="24" spans="1:10" x14ac:dyDescent="0.25">
      <c r="A24" s="27">
        <v>80699</v>
      </c>
      <c r="B24" s="27" t="s">
        <v>25</v>
      </c>
      <c r="C24" s="27">
        <v>20204</v>
      </c>
      <c r="D24" s="28" t="s">
        <v>36</v>
      </c>
      <c r="E24" s="29">
        <v>1</v>
      </c>
      <c r="F24" s="27"/>
      <c r="G24" s="27"/>
      <c r="H24" s="27"/>
      <c r="I24" s="27">
        <f>E24*'[1]OFERTA PARA EL CLIENTE'!$E$17</f>
        <v>1</v>
      </c>
      <c r="J24" s="28"/>
    </row>
    <row r="25" spans="1:10" x14ac:dyDescent="0.25">
      <c r="A25" s="27">
        <v>80700</v>
      </c>
      <c r="B25" s="27" t="s">
        <v>25</v>
      </c>
      <c r="C25" s="27">
        <v>20207</v>
      </c>
      <c r="D25" s="28" t="s">
        <v>37</v>
      </c>
      <c r="E25" s="29">
        <v>1</v>
      </c>
      <c r="F25" s="27"/>
      <c r="G25" s="27"/>
      <c r="H25" s="27"/>
      <c r="I25" s="27">
        <f>E25*'[1]OFERTA PARA EL CLIENTE'!$E$17</f>
        <v>1</v>
      </c>
      <c r="J25" s="28"/>
    </row>
    <row r="26" spans="1:10" x14ac:dyDescent="0.25">
      <c r="A26" s="27">
        <v>80701</v>
      </c>
      <c r="B26" s="27" t="s">
        <v>25</v>
      </c>
      <c r="C26" s="27">
        <v>20211</v>
      </c>
      <c r="D26" s="28" t="s">
        <v>38</v>
      </c>
      <c r="E26" s="29">
        <v>2</v>
      </c>
      <c r="F26" s="27"/>
      <c r="G26" s="27"/>
      <c r="H26" s="27"/>
      <c r="I26" s="27">
        <f>E26*'[1]OFERTA PARA EL CLIENTE'!$E$17</f>
        <v>2</v>
      </c>
      <c r="J26" s="28"/>
    </row>
    <row r="27" spans="1:10" x14ac:dyDescent="0.25">
      <c r="A27" s="27">
        <v>80702</v>
      </c>
      <c r="B27" s="27" t="s">
        <v>25</v>
      </c>
      <c r="C27" s="27">
        <v>20279</v>
      </c>
      <c r="D27" s="28" t="s">
        <v>39</v>
      </c>
      <c r="E27" s="29">
        <v>1</v>
      </c>
      <c r="F27" s="27"/>
      <c r="G27" s="27"/>
      <c r="H27" s="27"/>
      <c r="I27" s="27">
        <f>E27*'[1]OFERTA PARA EL CLIENTE'!$E$17</f>
        <v>1</v>
      </c>
      <c r="J27" s="28"/>
    </row>
    <row r="28" spans="1:10" x14ac:dyDescent="0.25">
      <c r="A28" s="27">
        <v>79565</v>
      </c>
      <c r="B28" s="27" t="s">
        <v>25</v>
      </c>
      <c r="C28" s="27">
        <v>20291</v>
      </c>
      <c r="D28" s="28" t="s">
        <v>40</v>
      </c>
      <c r="E28" s="29">
        <v>2</v>
      </c>
      <c r="F28" s="27"/>
      <c r="G28" s="27"/>
      <c r="H28" s="27"/>
      <c r="I28" s="27">
        <f>E28*'[1]OFERTA PARA EL CLIENTE'!$E$17</f>
        <v>2</v>
      </c>
      <c r="J28" s="28"/>
    </row>
    <row r="29" spans="1:10" x14ac:dyDescent="0.25">
      <c r="A29" s="27">
        <v>79671</v>
      </c>
      <c r="B29" s="27" t="s">
        <v>25</v>
      </c>
      <c r="C29" s="27">
        <v>20300</v>
      </c>
      <c r="D29" s="28" t="s">
        <v>41</v>
      </c>
      <c r="E29" s="29">
        <v>2</v>
      </c>
      <c r="F29" s="27"/>
      <c r="G29" s="27"/>
      <c r="H29" s="27"/>
      <c r="I29" s="27">
        <f>E29*'[1]OFERTA PARA EL CLIENTE'!$E$17</f>
        <v>2</v>
      </c>
      <c r="J29" s="28"/>
    </row>
    <row r="30" spans="1:10" x14ac:dyDescent="0.25">
      <c r="A30" s="27">
        <v>80703</v>
      </c>
      <c r="B30" s="27" t="s">
        <v>25</v>
      </c>
      <c r="C30" s="27">
        <v>20307</v>
      </c>
      <c r="D30" s="28" t="s">
        <v>42</v>
      </c>
      <c r="E30" s="29">
        <v>1</v>
      </c>
      <c r="F30" s="27"/>
      <c r="G30" s="27"/>
      <c r="H30" s="27"/>
      <c r="I30" s="27">
        <f>E30*'[1]OFERTA PARA EL CLIENTE'!$E$17</f>
        <v>1</v>
      </c>
      <c r="J30" s="28"/>
    </row>
    <row r="31" spans="1:10" x14ac:dyDescent="0.25">
      <c r="A31" s="27">
        <v>80704</v>
      </c>
      <c r="B31" s="27" t="s">
        <v>25</v>
      </c>
      <c r="C31" s="27">
        <v>20310</v>
      </c>
      <c r="D31" s="28" t="s">
        <v>43</v>
      </c>
      <c r="E31" s="29">
        <v>2</v>
      </c>
      <c r="F31" s="27"/>
      <c r="G31" s="27"/>
      <c r="H31" s="27"/>
      <c r="I31" s="27">
        <f>E31*'[1]OFERTA PARA EL CLIENTE'!$E$17</f>
        <v>2</v>
      </c>
      <c r="J31" s="28"/>
    </row>
    <row r="32" spans="1:10" x14ac:dyDescent="0.25">
      <c r="A32" s="27">
        <v>79845</v>
      </c>
      <c r="B32" s="27" t="s">
        <v>25</v>
      </c>
      <c r="C32" s="27">
        <v>20342</v>
      </c>
      <c r="D32" s="28" t="s">
        <v>44</v>
      </c>
      <c r="E32" s="29">
        <v>1</v>
      </c>
      <c r="F32" s="27"/>
      <c r="G32" s="27"/>
      <c r="H32" s="27"/>
      <c r="I32" s="27">
        <f>E32*'[1]OFERTA PARA EL CLIENTE'!$E$17</f>
        <v>1</v>
      </c>
      <c r="J32" s="28"/>
    </row>
    <row r="33" spans="1:10" x14ac:dyDescent="0.25">
      <c r="A33" s="27">
        <v>80705</v>
      </c>
      <c r="B33" s="27" t="s">
        <v>25</v>
      </c>
      <c r="C33" s="27">
        <v>20343</v>
      </c>
      <c r="D33" s="28" t="s">
        <v>45</v>
      </c>
      <c r="E33" s="29">
        <v>2</v>
      </c>
      <c r="F33" s="27"/>
      <c r="G33" s="27"/>
      <c r="H33" s="27"/>
      <c r="I33" s="27">
        <f>E33*'[1]OFERTA PARA EL CLIENTE'!$E$17</f>
        <v>2</v>
      </c>
      <c r="J33" s="28"/>
    </row>
    <row r="34" spans="1:10" x14ac:dyDescent="0.25">
      <c r="A34" s="27">
        <v>79582</v>
      </c>
      <c r="B34" s="27" t="s">
        <v>25</v>
      </c>
      <c r="C34" s="27">
        <v>26088</v>
      </c>
      <c r="D34" s="28" t="s">
        <v>46</v>
      </c>
      <c r="E34" s="29">
        <v>4</v>
      </c>
      <c r="F34" s="27"/>
      <c r="G34" s="27"/>
      <c r="H34" s="27"/>
      <c r="I34" s="27">
        <f>E34*'[1]OFERTA PARA EL CLIENTE'!$E$17</f>
        <v>4</v>
      </c>
      <c r="J34" s="28"/>
    </row>
    <row r="35" spans="1:10" x14ac:dyDescent="0.25">
      <c r="A35" s="27">
        <v>79670</v>
      </c>
      <c r="B35" s="27" t="s">
        <v>25</v>
      </c>
      <c r="C35" s="27">
        <v>26092</v>
      </c>
      <c r="D35" s="28" t="s">
        <v>47</v>
      </c>
      <c r="E35" s="29">
        <v>3</v>
      </c>
      <c r="F35" s="27"/>
      <c r="G35" s="27"/>
      <c r="H35" s="27"/>
      <c r="I35" s="27">
        <f>E35*'[1]OFERTA PARA EL CLIENTE'!$E$17</f>
        <v>3</v>
      </c>
      <c r="J35" s="28"/>
    </row>
    <row r="36" spans="1:10" x14ac:dyDescent="0.25">
      <c r="A36" s="27">
        <v>79583</v>
      </c>
      <c r="B36" s="27" t="s">
        <v>25</v>
      </c>
      <c r="C36" s="27">
        <v>26093</v>
      </c>
      <c r="D36" s="28" t="s">
        <v>48</v>
      </c>
      <c r="E36" s="29">
        <v>1</v>
      </c>
      <c r="F36" s="27"/>
      <c r="G36" s="27"/>
      <c r="H36" s="27"/>
      <c r="I36" s="27">
        <f>E36*'[1]OFERTA PARA EL CLIENTE'!$E$17</f>
        <v>1</v>
      </c>
      <c r="J36" s="28"/>
    </row>
    <row r="37" spans="1:10" x14ac:dyDescent="0.25">
      <c r="A37" s="27">
        <v>79584</v>
      </c>
      <c r="B37" s="27" t="s">
        <v>25</v>
      </c>
      <c r="C37" s="27">
        <v>26249</v>
      </c>
      <c r="D37" s="28" t="s">
        <v>49</v>
      </c>
      <c r="E37" s="29">
        <v>1</v>
      </c>
      <c r="F37" s="27"/>
      <c r="G37" s="27"/>
      <c r="H37" s="27"/>
      <c r="I37" s="27">
        <f>E37*'[1]OFERTA PARA EL CLIENTE'!$E$17</f>
        <v>1</v>
      </c>
      <c r="J37" s="28"/>
    </row>
    <row r="38" spans="1:10" x14ac:dyDescent="0.25">
      <c r="A38" s="27">
        <v>79585</v>
      </c>
      <c r="B38" s="27" t="s">
        <v>25</v>
      </c>
      <c r="C38" s="27">
        <v>26662</v>
      </c>
      <c r="D38" s="28" t="s">
        <v>50</v>
      </c>
      <c r="E38" s="29">
        <v>1</v>
      </c>
      <c r="F38" s="27"/>
      <c r="G38" s="27"/>
      <c r="H38" s="27"/>
      <c r="I38" s="27">
        <f>E38*'[1]OFERTA PARA EL CLIENTE'!$E$17</f>
        <v>1</v>
      </c>
      <c r="J38" s="28"/>
    </row>
    <row r="39" spans="1:10" x14ac:dyDescent="0.25">
      <c r="A39" s="27">
        <v>71525</v>
      </c>
      <c r="B39" s="27" t="s">
        <v>25</v>
      </c>
      <c r="C39" s="27">
        <v>37310</v>
      </c>
      <c r="D39" s="28" t="s">
        <v>51</v>
      </c>
      <c r="E39" s="29">
        <v>4</v>
      </c>
      <c r="F39" s="27"/>
      <c r="G39" s="27"/>
      <c r="H39" s="27"/>
      <c r="I39" s="27">
        <f>E39*'[1]OFERTA PARA EL CLIENTE'!$E$17</f>
        <v>4</v>
      </c>
      <c r="J39" s="28"/>
    </row>
    <row r="40" spans="1:10" x14ac:dyDescent="0.25">
      <c r="A40" s="27">
        <v>79587</v>
      </c>
      <c r="B40" s="27" t="s">
        <v>25</v>
      </c>
      <c r="C40" s="27">
        <v>37385</v>
      </c>
      <c r="D40" s="28" t="s">
        <v>52</v>
      </c>
      <c r="E40" s="29">
        <v>2</v>
      </c>
      <c r="F40" s="27"/>
      <c r="G40" s="27"/>
      <c r="H40" s="27"/>
      <c r="I40" s="27">
        <f>E40*'[1]OFERTA PARA EL CLIENTE'!$E$17</f>
        <v>2</v>
      </c>
      <c r="J40" s="28"/>
    </row>
    <row r="41" spans="1:10" x14ac:dyDescent="0.25">
      <c r="A41" s="27">
        <v>79588</v>
      </c>
      <c r="B41" s="27" t="s">
        <v>25</v>
      </c>
      <c r="C41" s="27">
        <v>37419</v>
      </c>
      <c r="D41" s="28" t="s">
        <v>53</v>
      </c>
      <c r="E41" s="29">
        <v>4</v>
      </c>
      <c r="F41" s="27"/>
      <c r="G41" s="27"/>
      <c r="H41" s="27"/>
      <c r="I41" s="27">
        <f>E41*'[1]OFERTA PARA EL CLIENTE'!$E$17</f>
        <v>4</v>
      </c>
      <c r="J41" s="28"/>
    </row>
    <row r="42" spans="1:10" x14ac:dyDescent="0.25">
      <c r="A42" s="27">
        <v>79589</v>
      </c>
      <c r="B42" s="27" t="s">
        <v>25</v>
      </c>
      <c r="C42" s="27">
        <v>37438</v>
      </c>
      <c r="D42" s="28" t="s">
        <v>54</v>
      </c>
      <c r="E42" s="29">
        <v>1</v>
      </c>
      <c r="F42" s="27"/>
      <c r="G42" s="27"/>
      <c r="H42" s="27"/>
      <c r="I42" s="27">
        <f>E42*'[1]OFERTA PARA EL CLIENTE'!$E$17</f>
        <v>1</v>
      </c>
      <c r="J42" s="28"/>
    </row>
    <row r="43" spans="1:10" x14ac:dyDescent="0.25">
      <c r="A43" s="27">
        <v>79590</v>
      </c>
      <c r="B43" s="27" t="s">
        <v>25</v>
      </c>
      <c r="C43" s="27">
        <v>405226</v>
      </c>
      <c r="D43" s="28" t="s">
        <v>55</v>
      </c>
      <c r="E43" s="29">
        <v>2</v>
      </c>
      <c r="F43" s="27"/>
      <c r="G43" s="27"/>
      <c r="H43" s="27"/>
      <c r="I43" s="27">
        <f>E43*'[1]OFERTA PARA EL CLIENTE'!$E$17</f>
        <v>2</v>
      </c>
      <c r="J43" s="28"/>
    </row>
    <row r="44" spans="1:10" x14ac:dyDescent="0.25">
      <c r="A44" s="27">
        <v>70806</v>
      </c>
      <c r="B44" s="27" t="s">
        <v>25</v>
      </c>
      <c r="C44" s="27">
        <v>407752</v>
      </c>
      <c r="D44" s="28" t="s">
        <v>56</v>
      </c>
      <c r="E44" s="29">
        <v>1</v>
      </c>
      <c r="F44" s="27"/>
      <c r="G44" s="27"/>
      <c r="H44" s="27"/>
      <c r="I44" s="27">
        <f>E44*'[1]OFERTA PARA EL CLIENTE'!$E$17</f>
        <v>1</v>
      </c>
      <c r="J44" s="28"/>
    </row>
    <row r="45" spans="1:10" x14ac:dyDescent="0.25">
      <c r="A45" s="27">
        <v>79597</v>
      </c>
      <c r="B45" s="27" t="s">
        <v>25</v>
      </c>
      <c r="C45" s="27">
        <v>411504</v>
      </c>
      <c r="D45" s="28" t="s">
        <v>57</v>
      </c>
      <c r="E45" s="29">
        <v>1</v>
      </c>
      <c r="F45" s="27"/>
      <c r="G45" s="27"/>
      <c r="H45" s="27"/>
      <c r="I45" s="27">
        <f>E45*'[1]OFERTA PARA EL CLIENTE'!$E$17</f>
        <v>1</v>
      </c>
      <c r="J45" s="28"/>
    </row>
    <row r="46" spans="1:10" x14ac:dyDescent="0.25">
      <c r="A46" s="27">
        <v>80707</v>
      </c>
      <c r="B46" s="27" t="s">
        <v>25</v>
      </c>
      <c r="C46" s="27">
        <v>420012</v>
      </c>
      <c r="D46" s="28" t="s">
        <v>58</v>
      </c>
      <c r="E46" s="29">
        <v>1</v>
      </c>
      <c r="F46" s="27"/>
      <c r="G46" s="27"/>
      <c r="H46" s="27"/>
      <c r="I46" s="27">
        <f>E46*'[1]OFERTA PARA EL CLIENTE'!$E$17</f>
        <v>1</v>
      </c>
      <c r="J46" s="28"/>
    </row>
    <row r="47" spans="1:10" x14ac:dyDescent="0.25">
      <c r="A47" s="27">
        <v>80708</v>
      </c>
      <c r="B47" s="27" t="s">
        <v>25</v>
      </c>
      <c r="C47" s="27">
        <v>420013</v>
      </c>
      <c r="D47" s="28" t="s">
        <v>59</v>
      </c>
      <c r="E47" s="29">
        <v>2</v>
      </c>
      <c r="F47" s="27"/>
      <c r="G47" s="27"/>
      <c r="H47" s="27"/>
      <c r="I47" s="27">
        <f>E47*'[1]OFERTA PARA EL CLIENTE'!$E$17</f>
        <v>2</v>
      </c>
      <c r="J47" s="28"/>
    </row>
    <row r="48" spans="1:10" x14ac:dyDescent="0.25">
      <c r="A48" s="27">
        <v>67464</v>
      </c>
      <c r="B48" s="27" t="s">
        <v>25</v>
      </c>
      <c r="C48" s="27">
        <v>420016</v>
      </c>
      <c r="D48" s="28" t="s">
        <v>60</v>
      </c>
      <c r="E48" s="29">
        <v>1</v>
      </c>
      <c r="F48" s="27"/>
      <c r="G48" s="27"/>
      <c r="H48" s="27"/>
      <c r="I48" s="27">
        <f>E48*'[1]OFERTA PARA EL CLIENTE'!$E$17</f>
        <v>1</v>
      </c>
      <c r="J48" s="28"/>
    </row>
    <row r="49" spans="1:10" x14ac:dyDescent="0.25">
      <c r="A49" s="27">
        <v>79603</v>
      </c>
      <c r="B49" s="27" t="s">
        <v>25</v>
      </c>
      <c r="C49" s="27">
        <v>421016</v>
      </c>
      <c r="D49" s="28" t="s">
        <v>61</v>
      </c>
      <c r="E49" s="29">
        <v>4</v>
      </c>
      <c r="F49" s="27"/>
      <c r="G49" s="27"/>
      <c r="H49" s="27"/>
      <c r="I49" s="27">
        <f>E49*'[1]OFERTA PARA EL CLIENTE'!$E$17</f>
        <v>4</v>
      </c>
      <c r="J49" s="28"/>
    </row>
    <row r="50" spans="1:10" x14ac:dyDescent="0.25">
      <c r="A50" s="27">
        <v>79668</v>
      </c>
      <c r="B50" s="27" t="s">
        <v>25</v>
      </c>
      <c r="C50" s="27">
        <v>421071</v>
      </c>
      <c r="D50" s="28" t="s">
        <v>62</v>
      </c>
      <c r="E50" s="29">
        <v>4</v>
      </c>
      <c r="F50" s="27"/>
      <c r="G50" s="27"/>
      <c r="H50" s="27"/>
      <c r="I50" s="27">
        <f>E50*'[1]OFERTA PARA EL CLIENTE'!$E$17</f>
        <v>4</v>
      </c>
      <c r="J50" s="28"/>
    </row>
    <row r="51" spans="1:10" x14ac:dyDescent="0.25">
      <c r="A51" s="27">
        <v>79597</v>
      </c>
      <c r="B51" s="27" t="s">
        <v>25</v>
      </c>
      <c r="C51" s="27">
        <v>411504</v>
      </c>
      <c r="D51" s="28" t="s">
        <v>57</v>
      </c>
      <c r="E51" s="29">
        <v>1</v>
      </c>
      <c r="F51" s="27"/>
      <c r="G51" s="27"/>
      <c r="H51" s="27"/>
      <c r="I51" s="27">
        <f>E51*'[1]OFERTA PARA EL CLIENTE'!$E$17</f>
        <v>1</v>
      </c>
      <c r="J51" s="28"/>
    </row>
    <row r="52" spans="1:10" x14ac:dyDescent="0.25">
      <c r="A52" s="27">
        <v>79592</v>
      </c>
      <c r="B52" s="27" t="s">
        <v>25</v>
      </c>
      <c r="C52" s="27">
        <v>407800</v>
      </c>
      <c r="D52" s="28" t="s">
        <v>63</v>
      </c>
      <c r="E52" s="29">
        <v>1</v>
      </c>
      <c r="F52" s="27"/>
      <c r="G52" s="27"/>
      <c r="H52" s="27"/>
      <c r="I52" s="27">
        <f>E52*'[1]OFERTA PARA EL CLIENTE'!$E$17</f>
        <v>1</v>
      </c>
      <c r="J52" s="28"/>
    </row>
    <row r="53" spans="1:10" x14ac:dyDescent="0.25">
      <c r="A53" s="27"/>
      <c r="B53" s="27" t="s">
        <v>25</v>
      </c>
      <c r="C53" s="27" t="s">
        <v>26</v>
      </c>
      <c r="D53" s="28" t="s">
        <v>64</v>
      </c>
      <c r="E53" s="29">
        <v>1</v>
      </c>
      <c r="F53" s="27"/>
      <c r="G53" s="27"/>
      <c r="H53" s="27"/>
      <c r="I53" s="27">
        <f>E53*'[1]OFERTA PARA EL CLIENTE'!$E$17</f>
        <v>1</v>
      </c>
      <c r="J53" s="28"/>
    </row>
    <row r="54" spans="1:10" x14ac:dyDescent="0.25">
      <c r="A54" s="27">
        <v>79562</v>
      </c>
      <c r="B54" s="27" t="s">
        <v>25</v>
      </c>
      <c r="C54" s="27">
        <v>5818</v>
      </c>
      <c r="D54" s="28" t="s">
        <v>28</v>
      </c>
      <c r="E54" s="29">
        <v>1</v>
      </c>
      <c r="F54" s="27"/>
      <c r="G54" s="27"/>
      <c r="H54" s="27"/>
      <c r="I54" s="27">
        <f>E54*'[1]OFERTA PARA EL CLIENTE'!$E$17</f>
        <v>1</v>
      </c>
      <c r="J54" s="28"/>
    </row>
    <row r="55" spans="1:10" x14ac:dyDescent="0.25">
      <c r="A55" s="27">
        <v>79563</v>
      </c>
      <c r="B55" s="27" t="s">
        <v>25</v>
      </c>
      <c r="C55" s="27">
        <v>13302</v>
      </c>
      <c r="D55" s="28" t="s">
        <v>29</v>
      </c>
      <c r="E55" s="29">
        <v>1</v>
      </c>
      <c r="F55" s="27"/>
      <c r="G55" s="27"/>
      <c r="H55" s="27"/>
      <c r="I55" s="27">
        <f>E55*'[1]OFERTA PARA EL CLIENTE'!$E$17</f>
        <v>1</v>
      </c>
      <c r="J55" s="28"/>
    </row>
    <row r="56" spans="1:10" x14ac:dyDescent="0.25">
      <c r="A56" s="27">
        <v>79582</v>
      </c>
      <c r="B56" s="27" t="s">
        <v>25</v>
      </c>
      <c r="C56" s="27">
        <v>26088</v>
      </c>
      <c r="D56" s="28" t="s">
        <v>46</v>
      </c>
      <c r="E56" s="29">
        <v>1</v>
      </c>
      <c r="F56" s="27"/>
      <c r="G56" s="27"/>
      <c r="H56" s="27"/>
      <c r="I56" s="27">
        <f>E56*'[1]OFERTA PARA EL CLIENTE'!$E$17</f>
        <v>1</v>
      </c>
      <c r="J56" s="28"/>
    </row>
    <row r="57" spans="1:10" x14ac:dyDescent="0.25">
      <c r="A57" s="27">
        <v>79583</v>
      </c>
      <c r="B57" s="27" t="s">
        <v>25</v>
      </c>
      <c r="C57" s="27">
        <v>26093</v>
      </c>
      <c r="D57" s="28" t="s">
        <v>48</v>
      </c>
      <c r="E57" s="29">
        <v>1</v>
      </c>
      <c r="F57" s="27"/>
      <c r="G57" s="27"/>
      <c r="H57" s="27"/>
      <c r="I57" s="27">
        <f>E57*'[1]OFERTA PARA EL CLIENTE'!$E$17</f>
        <v>1</v>
      </c>
      <c r="J57" s="28"/>
    </row>
    <row r="58" spans="1:10" x14ac:dyDescent="0.25">
      <c r="A58" s="27">
        <v>80709</v>
      </c>
      <c r="B58" s="27" t="s">
        <v>25</v>
      </c>
      <c r="C58" s="27">
        <v>420279</v>
      </c>
      <c r="D58" s="28" t="s">
        <v>65</v>
      </c>
      <c r="E58" s="29">
        <v>1</v>
      </c>
      <c r="F58" s="27"/>
      <c r="G58" s="27"/>
      <c r="H58" s="27"/>
      <c r="I58" s="27">
        <f>E58*'[1]OFERTA PARA EL CLIENTE'!$E$17</f>
        <v>1</v>
      </c>
      <c r="J58" s="28"/>
    </row>
    <row r="59" spans="1:10" x14ac:dyDescent="0.25">
      <c r="A59" s="27">
        <v>79603</v>
      </c>
      <c r="B59" s="27" t="s">
        <v>25</v>
      </c>
      <c r="C59" s="27">
        <v>421016</v>
      </c>
      <c r="D59" s="28" t="s">
        <v>61</v>
      </c>
      <c r="E59" s="29">
        <v>1</v>
      </c>
      <c r="F59" s="27"/>
      <c r="G59" s="27"/>
      <c r="H59" s="27"/>
      <c r="I59" s="27">
        <f>E59*'[1]OFERTA PARA EL CLIENTE'!$E$17</f>
        <v>1</v>
      </c>
      <c r="J59" s="28"/>
    </row>
    <row r="60" spans="1:10" x14ac:dyDescent="0.25">
      <c r="A60" s="27">
        <v>79604</v>
      </c>
      <c r="B60" s="27" t="s">
        <v>25</v>
      </c>
      <c r="C60" s="27">
        <v>421072</v>
      </c>
      <c r="D60" s="28" t="s">
        <v>66</v>
      </c>
      <c r="E60" s="29">
        <v>1</v>
      </c>
      <c r="F60" s="27"/>
      <c r="G60" s="27"/>
      <c r="H60" s="27"/>
      <c r="I60" s="27">
        <f>E60*'[1]OFERTA PARA EL CLIENTE'!$E$17</f>
        <v>1</v>
      </c>
      <c r="J60" s="28"/>
    </row>
    <row r="61" spans="1:10" x14ac:dyDescent="0.25">
      <c r="A61" s="27">
        <v>79584</v>
      </c>
      <c r="B61" s="27" t="s">
        <v>25</v>
      </c>
      <c r="C61" s="27">
        <v>26249</v>
      </c>
      <c r="D61" s="28" t="s">
        <v>49</v>
      </c>
      <c r="E61" s="29">
        <v>2</v>
      </c>
      <c r="F61" s="27"/>
      <c r="G61" s="27"/>
      <c r="H61" s="27"/>
      <c r="I61" s="27">
        <f>E61*'[1]OFERTA PARA EL CLIENTE'!$E$17</f>
        <v>2</v>
      </c>
      <c r="J61" s="28"/>
    </row>
  </sheetData>
  <mergeCells count="10">
    <mergeCell ref="D2:G2"/>
    <mergeCell ref="E9:F9"/>
    <mergeCell ref="G9:H9"/>
    <mergeCell ref="G5:H5"/>
    <mergeCell ref="I5:J5"/>
    <mergeCell ref="G6:H6"/>
    <mergeCell ref="I6:J6"/>
    <mergeCell ref="G7:H7"/>
    <mergeCell ref="I7:J7"/>
    <mergeCell ref="D6:E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 Escobar Roman</dc:creator>
  <cp:lastModifiedBy>Carlos  Escobar Roman</cp:lastModifiedBy>
  <dcterms:created xsi:type="dcterms:W3CDTF">2026-03-03T13:47:50Z</dcterms:created>
  <dcterms:modified xsi:type="dcterms:W3CDTF">2026-03-04T07:45:31Z</dcterms:modified>
</cp:coreProperties>
</file>